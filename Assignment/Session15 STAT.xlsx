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CCC618D6-BDEF-48CE-A8FD-DF80EEA44E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rchase_data" sheetId="1" r:id="rId1"/>
    <sheet name="ANOVA_Analysis" sheetId="2" r:id="rId2"/>
    <sheet name="Interpretation" sheetId="3" r:id="rId3"/>
    <sheet name="Zomato_ANOV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D2" i="2"/>
  <c r="B2" i="2"/>
  <c r="F2" i="2" s="1"/>
</calcChain>
</file>

<file path=xl/sharedStrings.xml><?xml version="1.0" encoding="utf-8"?>
<sst xmlns="http://schemas.openxmlformats.org/spreadsheetml/2006/main" count="49" uniqueCount="34">
  <si>
    <t>customer_id</t>
  </si>
  <si>
    <t>age_group</t>
  </si>
  <si>
    <t>purchase_value</t>
  </si>
  <si>
    <t>C001</t>
  </si>
  <si>
    <t>18-25</t>
  </si>
  <si>
    <t>C002</t>
  </si>
  <si>
    <t>C003</t>
  </si>
  <si>
    <t>C004</t>
  </si>
  <si>
    <t>C005</t>
  </si>
  <si>
    <t>C006</t>
  </si>
  <si>
    <t>26-35</t>
  </si>
  <si>
    <t>C007</t>
  </si>
  <si>
    <t>C008</t>
  </si>
  <si>
    <t>C009</t>
  </si>
  <si>
    <t>C010</t>
  </si>
  <si>
    <t>C011</t>
  </si>
  <si>
    <t>36-50</t>
  </si>
  <si>
    <t>C012</t>
  </si>
  <si>
    <t>C013</t>
  </si>
  <si>
    <t>C014</t>
  </si>
  <si>
    <t>C015</t>
  </si>
  <si>
    <t>Group</t>
  </si>
  <si>
    <t>Mean</t>
  </si>
  <si>
    <t>Overall Mean</t>
  </si>
  <si>
    <t>Between Group Variance</t>
  </si>
  <si>
    <t>Within Group Variance</t>
  </si>
  <si>
    <t>Use Data Analysis ToolPak &gt; ANOVA: Single Factor</t>
  </si>
  <si>
    <t>ANOVA Interpretation</t>
  </si>
  <si>
    <t>If p-value &lt; 0.05, there is a statistically significant difference in average purchase values among age groups.</t>
  </si>
  <si>
    <t>If p-value &gt;= 0.05, there is no statistically significant difference among the age groups.</t>
  </si>
  <si>
    <t>Students</t>
  </si>
  <si>
    <t>Working Professionals</t>
  </si>
  <si>
    <t>Retirees</t>
  </si>
  <si>
    <t>Run Excel Data Analysis &gt; ANOVA: Single Factor using A1:C6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</si>
</sst>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 applyFill="1"/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4" sqref="D4"/>
    </sheetView>
  </sheetViews>
  <sheetFormatPr defaultRowHeight="15" x14ac:dyDescent="0.25"/>
  <cols>
    <col min="1" max="1" width="12" bestFit="1" customWidth="1"/>
    <col min="2" max="2" width="10.28515625" bestFit="1" customWidth="1"/>
    <col min="3" max="3" width="15" bestFit="1" customWidth="1"/>
  </cols>
  <sheetData>
    <row r="1" spans="1:7" x14ac:dyDescent="0.25">
      <c r="A1" s="7" t="s">
        <v>0</v>
      </c>
      <c r="B1" s="8" t="s">
        <v>1</v>
      </c>
      <c r="C1" s="8" t="s">
        <v>2</v>
      </c>
    </row>
    <row r="2" spans="1:7" x14ac:dyDescent="0.25">
      <c r="A2" s="4" t="s">
        <v>3</v>
      </c>
      <c r="B2" s="4" t="s">
        <v>4</v>
      </c>
      <c r="C2" s="4">
        <v>120</v>
      </c>
    </row>
    <row r="3" spans="1:7" x14ac:dyDescent="0.25">
      <c r="A3" s="4" t="s">
        <v>5</v>
      </c>
      <c r="B3" s="4" t="s">
        <v>4</v>
      </c>
      <c r="C3" s="4">
        <v>135</v>
      </c>
    </row>
    <row r="4" spans="1:7" x14ac:dyDescent="0.25">
      <c r="A4" s="4" t="s">
        <v>6</v>
      </c>
      <c r="B4" s="4" t="s">
        <v>4</v>
      </c>
      <c r="C4" s="4">
        <v>128</v>
      </c>
    </row>
    <row r="5" spans="1:7" x14ac:dyDescent="0.25">
      <c r="A5" s="4" t="s">
        <v>7</v>
      </c>
      <c r="B5" s="4" t="s">
        <v>4</v>
      </c>
      <c r="C5" s="4">
        <v>142</v>
      </c>
    </row>
    <row r="6" spans="1:7" x14ac:dyDescent="0.25">
      <c r="A6" s="4" t="s">
        <v>8</v>
      </c>
      <c r="B6" s="4" t="s">
        <v>4</v>
      </c>
      <c r="C6" s="4">
        <v>125</v>
      </c>
    </row>
    <row r="7" spans="1:7" x14ac:dyDescent="0.25">
      <c r="A7" s="4" t="s">
        <v>9</v>
      </c>
      <c r="B7" s="4" t="s">
        <v>10</v>
      </c>
      <c r="C7" s="4">
        <v>180</v>
      </c>
      <c r="F7" s="6"/>
    </row>
    <row r="8" spans="1:7" x14ac:dyDescent="0.25">
      <c r="A8" s="4" t="s">
        <v>11</v>
      </c>
      <c r="B8" s="4" t="s">
        <v>10</v>
      </c>
      <c r="C8" s="4">
        <v>195</v>
      </c>
    </row>
    <row r="9" spans="1:7" x14ac:dyDescent="0.25">
      <c r="A9" s="4" t="s">
        <v>12</v>
      </c>
      <c r="B9" s="4" t="s">
        <v>10</v>
      </c>
      <c r="C9" s="4">
        <v>205</v>
      </c>
      <c r="G9" s="5"/>
    </row>
    <row r="10" spans="1:7" x14ac:dyDescent="0.25">
      <c r="A10" s="4" t="s">
        <v>13</v>
      </c>
      <c r="B10" s="4" t="s">
        <v>10</v>
      </c>
      <c r="C10" s="4">
        <v>190</v>
      </c>
    </row>
    <row r="11" spans="1:7" x14ac:dyDescent="0.25">
      <c r="A11" s="4" t="s">
        <v>14</v>
      </c>
      <c r="B11" s="4" t="s">
        <v>10</v>
      </c>
      <c r="C11" s="4">
        <v>200</v>
      </c>
    </row>
    <row r="12" spans="1:7" x14ac:dyDescent="0.25">
      <c r="A12" s="4" t="s">
        <v>15</v>
      </c>
      <c r="B12" s="4" t="s">
        <v>16</v>
      </c>
      <c r="C12" s="4">
        <v>260</v>
      </c>
    </row>
    <row r="13" spans="1:7" x14ac:dyDescent="0.25">
      <c r="A13" s="4" t="s">
        <v>17</v>
      </c>
      <c r="B13" s="4" t="s">
        <v>16</v>
      </c>
      <c r="C13" s="4">
        <v>245</v>
      </c>
    </row>
    <row r="14" spans="1:7" x14ac:dyDescent="0.25">
      <c r="A14" s="4" t="s">
        <v>18</v>
      </c>
      <c r="B14" s="4" t="s">
        <v>16</v>
      </c>
      <c r="C14" s="4">
        <v>275</v>
      </c>
    </row>
    <row r="15" spans="1:7" x14ac:dyDescent="0.25">
      <c r="A15" s="4" t="s">
        <v>19</v>
      </c>
      <c r="B15" s="4" t="s">
        <v>16</v>
      </c>
      <c r="C15" s="4">
        <v>255</v>
      </c>
    </row>
    <row r="16" spans="1:7" x14ac:dyDescent="0.25">
      <c r="A16" s="4" t="s">
        <v>20</v>
      </c>
      <c r="B16" s="4" t="s">
        <v>16</v>
      </c>
      <c r="C16" s="4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H9" sqref="H9"/>
    </sheetView>
  </sheetViews>
  <sheetFormatPr defaultRowHeight="15" x14ac:dyDescent="0.25"/>
  <sheetData>
    <row r="1" spans="1:8" x14ac:dyDescent="0.25">
      <c r="A1" s="1" t="s">
        <v>21</v>
      </c>
      <c r="B1" s="3" t="s">
        <v>22</v>
      </c>
      <c r="D1" s="3" t="s">
        <v>23</v>
      </c>
      <c r="F1" s="3" t="s">
        <v>24</v>
      </c>
      <c r="H1" s="3" t="s">
        <v>25</v>
      </c>
    </row>
    <row r="2" spans="1:8" x14ac:dyDescent="0.25">
      <c r="A2" t="s">
        <v>4</v>
      </c>
      <c r="B2">
        <f>AVERAGEIF(purchase_data!B:B,A2,purchase_data!C:C)</f>
        <v>130</v>
      </c>
      <c r="D2">
        <f>AVERAGE(purchase_data!C:C)</f>
        <v>194.66666666666666</v>
      </c>
      <c r="F2">
        <f>((COUNTIF(purchase_data!B:B,A2)*(B2-$D$2)^2)+(COUNTIF(purchase_data!B:B,A3)*(B3-$D$2)^2)+(COUNTIF(purchase_data!B:B,A4)*(B4-$D$2)^2))/2</f>
        <v>21126.666666666664</v>
      </c>
      <c r="H2" t="s">
        <v>26</v>
      </c>
    </row>
    <row r="3" spans="1:8" x14ac:dyDescent="0.25">
      <c r="A3" t="s">
        <v>10</v>
      </c>
      <c r="B3">
        <f>AVERAGEIF(purchase_data!B:B,A3,purchase_data!C:C)</f>
        <v>194</v>
      </c>
    </row>
    <row r="4" spans="1:8" x14ac:dyDescent="0.25">
      <c r="A4" t="s">
        <v>16</v>
      </c>
      <c r="B4">
        <f>AVERAGEIF(purchase_data!B:B,A4,purchase_data!C:C)</f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27</v>
      </c>
    </row>
    <row r="3" spans="1:1" x14ac:dyDescent="0.25">
      <c r="A3" t="s">
        <v>28</v>
      </c>
    </row>
    <row r="4" spans="1:1" x14ac:dyDescent="0.25">
      <c r="A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C8" sqref="C8"/>
    </sheetView>
  </sheetViews>
  <sheetFormatPr defaultRowHeight="15" x14ac:dyDescent="0.25"/>
  <sheetData>
    <row r="1" spans="1:5" x14ac:dyDescent="0.25">
      <c r="A1" s="2" t="s">
        <v>30</v>
      </c>
      <c r="B1" s="3" t="s">
        <v>31</v>
      </c>
      <c r="C1" s="3" t="s">
        <v>32</v>
      </c>
      <c r="E1" t="s">
        <v>33</v>
      </c>
    </row>
    <row r="2" spans="1:5" x14ac:dyDescent="0.25">
      <c r="A2">
        <v>450</v>
      </c>
      <c r="B2">
        <v>900</v>
      </c>
      <c r="C2">
        <v>650</v>
      </c>
    </row>
    <row r="3" spans="1:5" x14ac:dyDescent="0.25">
      <c r="A3">
        <v>500</v>
      </c>
      <c r="B3">
        <v>950</v>
      </c>
      <c r="C3">
        <v>700</v>
      </c>
    </row>
    <row r="4" spans="1:5" x14ac:dyDescent="0.25">
      <c r="A4">
        <v>520</v>
      </c>
      <c r="B4">
        <v>1000</v>
      </c>
      <c r="C4">
        <v>680</v>
      </c>
    </row>
    <row r="5" spans="1:5" x14ac:dyDescent="0.25">
      <c r="A5">
        <v>470</v>
      </c>
      <c r="B5">
        <v>980</v>
      </c>
      <c r="C5">
        <v>720</v>
      </c>
    </row>
    <row r="6" spans="1:5" x14ac:dyDescent="0.25">
      <c r="A6">
        <v>490</v>
      </c>
      <c r="B6">
        <v>1020</v>
      </c>
      <c r="C6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purchase_data</vt:lpstr>
      <vt:lpstr>ANOVA_Analysis</vt:lpstr>
      <vt:lpstr>Interpretation</vt:lpstr>
      <vt:lpstr>Zomato_ANOVA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2026-08-17T07:40:17Z</dcterms:created>
  <dcterms:modified xsi:type="dcterms:W3CDTF">2026-08-18T06:32:37Z</dcterms:modified>
</cp:coreProperties>
</file>