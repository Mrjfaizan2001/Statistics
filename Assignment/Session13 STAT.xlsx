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0579D429-F77D-4B93-8894-67FB127B95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s &amp; Answers" sheetId="1" r:id="rId1"/>
    <sheet name="Answe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F52" i="1"/>
  <c r="F54" i="1" s="1"/>
  <c r="G37" i="1"/>
  <c r="G38" i="1" s="1"/>
  <c r="F22" i="1"/>
  <c r="F21" i="1"/>
  <c r="E5" i="1"/>
  <c r="E75" i="1"/>
  <c r="E74" i="1"/>
  <c r="E76" i="1" s="1"/>
  <c r="E71" i="1"/>
  <c r="F51" i="1"/>
  <c r="F50" i="1"/>
  <c r="D43" i="1"/>
  <c r="D42" i="1"/>
  <c r="D41" i="1"/>
  <c r="D40" i="1"/>
  <c r="D39" i="1"/>
  <c r="D38" i="1"/>
  <c r="D37" i="1"/>
  <c r="D36" i="1"/>
  <c r="G35" i="1"/>
  <c r="D35" i="1"/>
  <c r="G34" i="1"/>
  <c r="G36" i="1" s="1"/>
  <c r="D34" i="1"/>
  <c r="F23" i="1"/>
  <c r="F20" i="1"/>
  <c r="F24" i="1" s="1"/>
  <c r="F19" i="1"/>
  <c r="E8" i="1"/>
  <c r="E4" i="1"/>
  <c r="E77" i="1" l="1"/>
  <c r="E7" i="1"/>
  <c r="E9" i="1" s="1"/>
  <c r="E11" i="1" s="1"/>
  <c r="G39" i="1"/>
  <c r="E10" i="1" l="1"/>
</calcChain>
</file>

<file path=xl/sharedStrings.xml><?xml version="1.0" encoding="utf-8"?>
<sst xmlns="http://schemas.openxmlformats.org/spreadsheetml/2006/main" count="77" uniqueCount="56">
  <si>
    <t>Task 1: One-Sample t-Test — Zomato Delivery Time</t>
  </si>
  <si>
    <t>Observation</t>
  </si>
  <si>
    <t>Delivery Time (min)</t>
  </si>
  <si>
    <t>Statistic</t>
  </si>
  <si>
    <t>Excel Formula / Result</t>
  </si>
  <si>
    <t>Sample mean</t>
  </si>
  <si>
    <t>Sample SD</t>
  </si>
  <si>
    <t>Hypothesized mean</t>
  </si>
  <si>
    <t>t-statistic</t>
  </si>
  <si>
    <t>Degrees of freedom</t>
  </si>
  <si>
    <t>Two-tailed p-value</t>
  </si>
  <si>
    <t>Conclusion (α=0.05)</t>
  </si>
  <si>
    <t>Interpretation</t>
  </si>
  <si>
    <t>Task 2: Independent Two-Sample t-Test — Daily Steps</t>
  </si>
  <si>
    <t>User</t>
  </si>
  <si>
    <t>Before</t>
  </si>
  <si>
    <t>After</t>
  </si>
  <si>
    <t>Before mean</t>
  </si>
  <si>
    <t>After mean</t>
  </si>
  <si>
    <t>p-value (two-tailed)</t>
  </si>
  <si>
    <t>Decision</t>
  </si>
  <si>
    <t>Increase after app?</t>
  </si>
  <si>
    <t>Note</t>
  </si>
  <si>
    <t>Excel T.TEST returns the p-value. The t-statistic can be calculated manually if needed.</t>
  </si>
  <si>
    <t>Task 3: Paired t-Test — Focus Mode Screen Time</t>
  </si>
  <si>
    <t>Before (hrs)</t>
  </si>
  <si>
    <t>After (hrs)</t>
  </si>
  <si>
    <t>Difference</t>
  </si>
  <si>
    <t>Mean reduction</t>
  </si>
  <si>
    <t>p-value (paired t-test)</t>
  </si>
  <si>
    <t>Task 4: Zomato vs Swiggy Ratings — Independent Two-Sample t-Test</t>
  </si>
  <si>
    <t>Zomato</t>
  </si>
  <si>
    <t>Swiggy</t>
  </si>
  <si>
    <t>Zomato mean</t>
  </si>
  <si>
    <t>Swiggy mean</t>
  </si>
  <si>
    <t>p-value (two-sample t-test)</t>
  </si>
  <si>
    <t>Test choice</t>
  </si>
  <si>
    <t>Independent two-sample t-test because the 15 Zomato ratings and 15 Swiggy ratings are from separate/randomly selected users and are not naturally paired.</t>
  </si>
  <si>
    <t>Task 5: One-Sample t-Test — UPI Transactions (PhonePe)</t>
  </si>
  <si>
    <t>Daily UPI Transactions</t>
  </si>
  <si>
    <t>df</t>
  </si>
  <si>
    <t>p-value</t>
  </si>
  <si>
    <t>Conclusion</t>
  </si>
  <si>
    <t>t-Test Assignment — Excel Summary</t>
  </si>
  <si>
    <t>Task</t>
  </si>
  <si>
    <t>Result</t>
  </si>
  <si>
    <t>1</t>
  </si>
  <si>
    <t>Zomato one-sample t-test: t ≈ 0.5222, p ≈ 0.6141. The sample mean is 30.50 minutes.</t>
  </si>
  <si>
    <t>2</t>
  </si>
  <si>
    <t>Independent steps test: before mean=5860, after mean=6620; p ≈ 0.027840. The increase is statistically significant.</t>
  </si>
  <si>
    <t>3</t>
  </si>
  <si>
    <t>Paired Focus Mode test: before mean=5.50 h, after mean=4.66 h; p ≈ 0.000000. Screen time significantly decreased.</t>
  </si>
  <si>
    <t>4</t>
  </si>
  <si>
    <t>Zomato vs Swiggy ratings use an independent two-sample t-test because the samples are independent. p ≈ 0.0637.</t>
  </si>
  <si>
    <t>5</t>
  </si>
  <si>
    <t>PhonePe UPI one-sample t-test against 20 transactions/day: t ≈ 1.5667, p ≈ 0.1516.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</si>
</sst>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6"/>
      <name val="Calibri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A3" sqref="A3:B3"/>
    </sheetView>
  </sheetViews>
  <sheetFormatPr defaultRowHeight="15" x14ac:dyDescent="0.25"/>
  <cols>
    <col min="1" max="1" width="18" customWidth="1"/>
    <col min="2" max="3" width="22" customWidth="1"/>
    <col min="4" max="4" width="32" customWidth="1"/>
    <col min="5" max="5" width="72" customWidth="1"/>
    <col min="6" max="6" width="36" customWidth="1"/>
    <col min="7" max="7" width="72" customWidth="1"/>
  </cols>
  <sheetData>
    <row r="1" spans="1:5" ht="74.45" customHeight="1" x14ac:dyDescent="0.25">
      <c r="A1" s="6" t="s">
        <v>0</v>
      </c>
    </row>
    <row r="3" spans="1:5" x14ac:dyDescent="0.25">
      <c r="A3" s="7" t="s">
        <v>1</v>
      </c>
      <c r="B3" s="7" t="s">
        <v>2</v>
      </c>
      <c r="D3" s="7" t="s">
        <v>3</v>
      </c>
      <c r="E3" s="7" t="s">
        <v>4</v>
      </c>
    </row>
    <row r="4" spans="1:5" x14ac:dyDescent="0.25">
      <c r="A4" s="3">
        <v>1</v>
      </c>
      <c r="B4" s="3">
        <v>28</v>
      </c>
      <c r="D4" s="3" t="s">
        <v>5</v>
      </c>
      <c r="E4" s="3">
        <f>AVERAGE(B4:B13)</f>
        <v>30.5</v>
      </c>
    </row>
    <row r="5" spans="1:5" x14ac:dyDescent="0.25">
      <c r="A5" s="3">
        <v>2</v>
      </c>
      <c r="B5" s="3">
        <v>32</v>
      </c>
      <c r="D5" s="3" t="s">
        <v>6</v>
      </c>
      <c r="E5" s="3">
        <f>_xlfn.STDEV.S(B4:B13)</f>
        <v>3.0276503540974917</v>
      </c>
    </row>
    <row r="6" spans="1:5" x14ac:dyDescent="0.25">
      <c r="A6" s="3">
        <v>3</v>
      </c>
      <c r="B6" s="3">
        <v>27</v>
      </c>
      <c r="D6" s="3" t="s">
        <v>7</v>
      </c>
      <c r="E6" s="3">
        <v>30</v>
      </c>
    </row>
    <row r="7" spans="1:5" x14ac:dyDescent="0.25">
      <c r="A7" s="3">
        <v>4</v>
      </c>
      <c r="B7" s="3">
        <v>35</v>
      </c>
      <c r="D7" s="3" t="s">
        <v>8</v>
      </c>
      <c r="E7" s="3">
        <f>(E4-E6)/(E5/SQRT(COUNT(B4:B13)))</f>
        <v>0.5222329678670935</v>
      </c>
    </row>
    <row r="8" spans="1:5" x14ac:dyDescent="0.25">
      <c r="A8" s="3">
        <v>5</v>
      </c>
      <c r="B8" s="3">
        <v>29</v>
      </c>
      <c r="D8" s="3" t="s">
        <v>9</v>
      </c>
      <c r="E8" s="3">
        <f>COUNT(B4:B13)-1</f>
        <v>9</v>
      </c>
    </row>
    <row r="9" spans="1:5" x14ac:dyDescent="0.25">
      <c r="A9" s="3">
        <v>6</v>
      </c>
      <c r="B9" s="3">
        <v>31</v>
      </c>
      <c r="D9" s="3" t="s">
        <v>10</v>
      </c>
      <c r="E9" s="3">
        <f>_xlfn.T.DIST.2T(ABS(E7),E8)</f>
        <v>0.61411725480839396</v>
      </c>
    </row>
    <row r="10" spans="1:5" x14ac:dyDescent="0.25">
      <c r="A10" s="3">
        <v>7</v>
      </c>
      <c r="B10" s="3">
        <v>30</v>
      </c>
      <c r="D10" s="3" t="s">
        <v>11</v>
      </c>
      <c r="E10" s="3" t="str">
        <f>IF(E9&lt;0.05,"Significantly different from 30 minutes","Not significantly different from 30 minutes")</f>
        <v>Not significantly different from 30 minutes</v>
      </c>
    </row>
    <row r="11" spans="1:5" ht="30" x14ac:dyDescent="0.25">
      <c r="A11" s="3">
        <v>8</v>
      </c>
      <c r="B11" s="3">
        <v>33</v>
      </c>
      <c r="D11" s="3" t="s">
        <v>12</v>
      </c>
      <c r="E11" s="3" t="str">
        <f>IF(E9&lt;0.05,"The sample provides evidence that the average Zomato delivery time differs from 30 minutes.","There is not enough evidence that the average Zomato delivery time differs from 30 minutes.")</f>
        <v>There is not enough evidence that the average Zomato delivery time differs from 30 minutes.</v>
      </c>
    </row>
    <row r="12" spans="1:5" x14ac:dyDescent="0.25">
      <c r="A12" s="3">
        <v>9</v>
      </c>
      <c r="B12" s="3">
        <v>26</v>
      </c>
    </row>
    <row r="13" spans="1:5" x14ac:dyDescent="0.25">
      <c r="A13" s="3">
        <v>10</v>
      </c>
      <c r="B13" s="3">
        <v>34</v>
      </c>
    </row>
    <row r="16" spans="1:5" ht="93.75" x14ac:dyDescent="0.25">
      <c r="A16" s="1" t="s">
        <v>13</v>
      </c>
    </row>
    <row r="18" spans="1:6" x14ac:dyDescent="0.25">
      <c r="A18" s="7" t="s">
        <v>14</v>
      </c>
      <c r="B18" s="7" t="s">
        <v>15</v>
      </c>
      <c r="C18" s="7" t="s">
        <v>16</v>
      </c>
      <c r="E18" s="7" t="s">
        <v>3</v>
      </c>
      <c r="F18" s="7" t="s">
        <v>4</v>
      </c>
    </row>
    <row r="19" spans="1:6" x14ac:dyDescent="0.25">
      <c r="A19" s="3">
        <v>1</v>
      </c>
      <c r="B19" s="3">
        <v>5200</v>
      </c>
      <c r="C19" s="3">
        <v>6100</v>
      </c>
      <c r="E19" s="3" t="s">
        <v>17</v>
      </c>
      <c r="F19" s="3">
        <f>AVERAGE(B19:B28)</f>
        <v>5860</v>
      </c>
    </row>
    <row r="20" spans="1:6" x14ac:dyDescent="0.25">
      <c r="A20" s="3">
        <v>2</v>
      </c>
      <c r="B20" s="3">
        <v>6100</v>
      </c>
      <c r="C20" s="3">
        <v>6900</v>
      </c>
      <c r="E20" s="3" t="s">
        <v>18</v>
      </c>
      <c r="F20" s="3">
        <f>AVERAGE(C19:C28)</f>
        <v>6620</v>
      </c>
    </row>
    <row r="21" spans="1:6" x14ac:dyDescent="0.25">
      <c r="A21" s="3">
        <v>3</v>
      </c>
      <c r="B21" s="3">
        <v>4800</v>
      </c>
      <c r="C21" s="3">
        <v>5500</v>
      </c>
      <c r="E21" s="3" t="s">
        <v>8</v>
      </c>
      <c r="F21" s="3">
        <f>_xlfn.T.TEST(B19:B28,C19:C28,2,2)</f>
        <v>2.7839546379871641E-2</v>
      </c>
    </row>
    <row r="22" spans="1:6" x14ac:dyDescent="0.25">
      <c r="A22" s="3">
        <v>4</v>
      </c>
      <c r="B22" s="3">
        <v>7000</v>
      </c>
      <c r="C22" s="3">
        <v>7600</v>
      </c>
      <c r="E22" s="3" t="s">
        <v>19</v>
      </c>
      <c r="F22" s="3">
        <f>_xlfn.T.TEST(B19:B28,C19:C28,2,2)</f>
        <v>2.7839546379871641E-2</v>
      </c>
    </row>
    <row r="23" spans="1:6" x14ac:dyDescent="0.25">
      <c r="A23" s="3">
        <v>5</v>
      </c>
      <c r="B23" s="3">
        <v>5600</v>
      </c>
      <c r="C23" s="3">
        <v>6300</v>
      </c>
      <c r="E23" s="3" t="s">
        <v>20</v>
      </c>
      <c r="F23" s="3" t="str">
        <f>IF(F22&lt;0.05,"Significant difference in average steps","No significant difference in average steps")</f>
        <v>Significant difference in average steps</v>
      </c>
    </row>
    <row r="24" spans="1:6" ht="30" x14ac:dyDescent="0.25">
      <c r="A24" s="3">
        <v>6</v>
      </c>
      <c r="B24" s="3">
        <v>6400</v>
      </c>
      <c r="C24" s="3">
        <v>7200</v>
      </c>
      <c r="E24" s="3" t="s">
        <v>21</v>
      </c>
      <c r="F24" s="3" t="str">
        <f>IF(AND(F22&lt;0.05,F20&gt;F19),"Yes — average steps significantly increased.","No — the data do not show a statistically significant increase.")</f>
        <v>Yes — average steps significantly increased.</v>
      </c>
    </row>
    <row r="25" spans="1:6" ht="45" x14ac:dyDescent="0.25">
      <c r="A25" s="3">
        <v>7</v>
      </c>
      <c r="B25" s="3">
        <v>5900</v>
      </c>
      <c r="C25" s="3">
        <v>6700</v>
      </c>
      <c r="E25" s="3" t="s">
        <v>22</v>
      </c>
      <c r="F25" s="3" t="s">
        <v>23</v>
      </c>
    </row>
    <row r="26" spans="1:6" x14ac:dyDescent="0.25">
      <c r="A26" s="3">
        <v>8</v>
      </c>
      <c r="B26" s="3">
        <v>5100</v>
      </c>
      <c r="C26" s="3">
        <v>5900</v>
      </c>
    </row>
    <row r="27" spans="1:6" x14ac:dyDescent="0.25">
      <c r="A27" s="3">
        <v>9</v>
      </c>
      <c r="B27" s="3">
        <v>6800</v>
      </c>
      <c r="C27" s="3">
        <v>7500</v>
      </c>
    </row>
    <row r="28" spans="1:6" x14ac:dyDescent="0.25">
      <c r="A28" s="3">
        <v>10</v>
      </c>
      <c r="B28" s="3">
        <v>5700</v>
      </c>
      <c r="C28" s="3">
        <v>6500</v>
      </c>
    </row>
    <row r="31" spans="1:6" ht="75" x14ac:dyDescent="0.25">
      <c r="A31" s="1" t="s">
        <v>24</v>
      </c>
    </row>
    <row r="33" spans="1:7" x14ac:dyDescent="0.25">
      <c r="A33" s="2" t="s">
        <v>14</v>
      </c>
      <c r="B33" s="7" t="s">
        <v>25</v>
      </c>
      <c r="C33" s="7" t="s">
        <v>26</v>
      </c>
      <c r="D33" s="7" t="s">
        <v>27</v>
      </c>
      <c r="F33" s="7" t="s">
        <v>3</v>
      </c>
      <c r="G33" s="7" t="s">
        <v>4</v>
      </c>
    </row>
    <row r="34" spans="1:7" x14ac:dyDescent="0.25">
      <c r="A34" s="3">
        <v>1</v>
      </c>
      <c r="B34" s="3">
        <v>5.2</v>
      </c>
      <c r="C34" s="3">
        <v>4.3</v>
      </c>
      <c r="D34" s="3">
        <f t="shared" ref="D34:D43" si="0">B34-C34</f>
        <v>0.90000000000000036</v>
      </c>
      <c r="F34" s="3" t="s">
        <v>17</v>
      </c>
      <c r="G34" s="3">
        <f>AVERAGE(B34:B43)</f>
        <v>5.5</v>
      </c>
    </row>
    <row r="35" spans="1:7" x14ac:dyDescent="0.25">
      <c r="A35" s="3">
        <v>2</v>
      </c>
      <c r="B35" s="3">
        <v>4.8</v>
      </c>
      <c r="C35" s="3">
        <v>4.0999999999999996</v>
      </c>
      <c r="D35" s="3">
        <f t="shared" si="0"/>
        <v>0.70000000000000018</v>
      </c>
      <c r="F35" s="3" t="s">
        <v>18</v>
      </c>
      <c r="G35" s="3">
        <f>AVERAGE(C34:C43)</f>
        <v>4.6599999999999993</v>
      </c>
    </row>
    <row r="36" spans="1:7" x14ac:dyDescent="0.25">
      <c r="A36" s="3">
        <v>3</v>
      </c>
      <c r="B36" s="3">
        <v>6.1</v>
      </c>
      <c r="C36" s="3">
        <v>5.2</v>
      </c>
      <c r="D36" s="3">
        <f t="shared" si="0"/>
        <v>0.89999999999999947</v>
      </c>
      <c r="F36" s="3" t="s">
        <v>28</v>
      </c>
      <c r="G36" s="3">
        <f>G34-G35</f>
        <v>0.84000000000000075</v>
      </c>
    </row>
    <row r="37" spans="1:7" x14ac:dyDescent="0.25">
      <c r="A37" s="3">
        <v>4</v>
      </c>
      <c r="B37" s="3">
        <v>5.5</v>
      </c>
      <c r="C37" s="3">
        <v>4.7</v>
      </c>
      <c r="D37" s="3">
        <f t="shared" si="0"/>
        <v>0.79999999999999982</v>
      </c>
      <c r="F37" s="3" t="s">
        <v>29</v>
      </c>
      <c r="G37" s="3">
        <f>_xlfn.T.TEST(B34:B43,C34:C43,2,1)</f>
        <v>1.3961042472150776E-9</v>
      </c>
    </row>
    <row r="38" spans="1:7" x14ac:dyDescent="0.25">
      <c r="A38" s="3">
        <v>5</v>
      </c>
      <c r="B38" s="3">
        <v>4.9000000000000004</v>
      </c>
      <c r="C38" s="3">
        <v>4.2</v>
      </c>
      <c r="D38" s="3">
        <f t="shared" si="0"/>
        <v>0.70000000000000018</v>
      </c>
      <c r="F38" s="3" t="s">
        <v>20</v>
      </c>
      <c r="G38" s="3" t="str">
        <f>IF(G37&lt;0.05,"Significant reduction in screen time","No significant reduction in screen time")</f>
        <v>Significant reduction in screen time</v>
      </c>
    </row>
    <row r="39" spans="1:7" x14ac:dyDescent="0.25">
      <c r="A39" s="3">
        <v>6</v>
      </c>
      <c r="B39" s="3">
        <v>6.3</v>
      </c>
      <c r="C39" s="3">
        <v>5.3</v>
      </c>
      <c r="D39" s="3">
        <f t="shared" si="0"/>
        <v>1</v>
      </c>
      <c r="F39" s="3" t="s">
        <v>12</v>
      </c>
      <c r="G39" s="3" t="str">
        <f>IF(G37&lt;0.05,"Focus Mode significantly reduced average screen time in this sample.","The sample does not provide enough evidence that Focus Mode reduced average screen time.")</f>
        <v>Focus Mode significantly reduced average screen time in this sample.</v>
      </c>
    </row>
    <row r="40" spans="1:7" x14ac:dyDescent="0.25">
      <c r="A40" s="3">
        <v>7</v>
      </c>
      <c r="B40" s="3">
        <v>5.7</v>
      </c>
      <c r="C40" s="3">
        <v>4.8</v>
      </c>
      <c r="D40" s="3">
        <f t="shared" si="0"/>
        <v>0.90000000000000036</v>
      </c>
    </row>
    <row r="41" spans="1:7" x14ac:dyDescent="0.25">
      <c r="A41" s="3">
        <v>8</v>
      </c>
      <c r="B41" s="3">
        <v>4.5999999999999996</v>
      </c>
      <c r="C41" s="3">
        <v>3.9</v>
      </c>
      <c r="D41" s="3">
        <f t="shared" si="0"/>
        <v>0.69999999999999973</v>
      </c>
    </row>
    <row r="42" spans="1:7" x14ac:dyDescent="0.25">
      <c r="A42" s="3">
        <v>9</v>
      </c>
      <c r="B42" s="3">
        <v>5.9</v>
      </c>
      <c r="C42" s="3">
        <v>5</v>
      </c>
      <c r="D42" s="3">
        <f t="shared" si="0"/>
        <v>0.90000000000000036</v>
      </c>
    </row>
    <row r="43" spans="1:7" x14ac:dyDescent="0.25">
      <c r="A43" s="3">
        <v>10</v>
      </c>
      <c r="B43" s="3">
        <v>6</v>
      </c>
      <c r="C43" s="3">
        <v>5.0999999999999996</v>
      </c>
      <c r="D43" s="3">
        <f t="shared" si="0"/>
        <v>0.90000000000000036</v>
      </c>
    </row>
    <row r="47" spans="1:7" ht="131.25" x14ac:dyDescent="0.25">
      <c r="A47" s="1" t="s">
        <v>30</v>
      </c>
    </row>
    <row r="49" spans="1:6" x14ac:dyDescent="0.25">
      <c r="A49" s="9" t="s">
        <v>14</v>
      </c>
      <c r="B49" s="9" t="s">
        <v>31</v>
      </c>
      <c r="C49" s="9" t="s">
        <v>32</v>
      </c>
      <c r="E49" s="8" t="s">
        <v>3</v>
      </c>
      <c r="F49" s="8" t="s">
        <v>4</v>
      </c>
    </row>
    <row r="50" spans="1:6" x14ac:dyDescent="0.25">
      <c r="A50" s="3">
        <v>1</v>
      </c>
      <c r="B50" s="3">
        <v>4.2</v>
      </c>
      <c r="C50" s="3">
        <v>4</v>
      </c>
      <c r="E50" s="3" t="s">
        <v>33</v>
      </c>
      <c r="F50" s="3">
        <f>AVERAGE(B50:B64)</f>
        <v>4.2333333333333334</v>
      </c>
    </row>
    <row r="51" spans="1:6" x14ac:dyDescent="0.25">
      <c r="A51" s="3">
        <v>2</v>
      </c>
      <c r="B51" s="3">
        <v>4.5</v>
      </c>
      <c r="C51" s="3">
        <v>4.2</v>
      </c>
      <c r="E51" s="3" t="s">
        <v>34</v>
      </c>
      <c r="F51" s="3">
        <f>AVERAGE(C50:C64)</f>
        <v>4.0733333333333333</v>
      </c>
    </row>
    <row r="52" spans="1:6" x14ac:dyDescent="0.25">
      <c r="A52" s="3">
        <v>3</v>
      </c>
      <c r="B52" s="3">
        <v>3.9</v>
      </c>
      <c r="C52" s="3">
        <v>3.8</v>
      </c>
      <c r="E52" s="3" t="s">
        <v>35</v>
      </c>
      <c r="F52" s="3">
        <f>_xlfn.T.TEST(B50:B64,C50:C64,2,2)</f>
        <v>6.3742751100338418E-2</v>
      </c>
    </row>
    <row r="53" spans="1:6" ht="75" x14ac:dyDescent="0.25">
      <c r="A53" s="3">
        <v>4</v>
      </c>
      <c r="B53" s="3">
        <v>4.0999999999999996</v>
      </c>
      <c r="C53" s="3">
        <v>4.3</v>
      </c>
      <c r="E53" s="3" t="s">
        <v>36</v>
      </c>
      <c r="F53" s="3" t="s">
        <v>37</v>
      </c>
    </row>
    <row r="54" spans="1:6" ht="30" x14ac:dyDescent="0.25">
      <c r="A54" s="3">
        <v>5</v>
      </c>
      <c r="B54" s="3">
        <v>4.5999999999999996</v>
      </c>
      <c r="C54" s="3">
        <v>4.0999999999999996</v>
      </c>
      <c r="E54" s="3" t="s">
        <v>20</v>
      </c>
      <c r="F54" s="3" t="str">
        <f>IF(F52&lt;0.05,"Significant difference between app ratings","No statistically significant difference between app ratings")</f>
        <v>No statistically significant difference between app ratings</v>
      </c>
    </row>
    <row r="55" spans="1:6" x14ac:dyDescent="0.25">
      <c r="A55" s="3">
        <v>6</v>
      </c>
      <c r="B55" s="3">
        <v>4</v>
      </c>
      <c r="C55" s="3">
        <v>3.9</v>
      </c>
    </row>
    <row r="56" spans="1:6" x14ac:dyDescent="0.25">
      <c r="A56" s="3">
        <v>7</v>
      </c>
      <c r="B56" s="3">
        <v>4.3</v>
      </c>
      <c r="C56" s="3">
        <v>4.4000000000000004</v>
      </c>
    </row>
    <row r="57" spans="1:6" x14ac:dyDescent="0.25">
      <c r="A57" s="3">
        <v>8</v>
      </c>
      <c r="B57" s="3">
        <v>4.4000000000000004</v>
      </c>
      <c r="C57" s="3">
        <v>4</v>
      </c>
    </row>
    <row r="58" spans="1:6" x14ac:dyDescent="0.25">
      <c r="A58" s="3">
        <v>9</v>
      </c>
      <c r="B58" s="3">
        <v>3.8</v>
      </c>
      <c r="C58" s="3">
        <v>4.2</v>
      </c>
    </row>
    <row r="59" spans="1:6" x14ac:dyDescent="0.25">
      <c r="A59" s="3">
        <v>10</v>
      </c>
      <c r="B59" s="3">
        <v>4.2</v>
      </c>
      <c r="C59" s="3">
        <v>4.0999999999999996</v>
      </c>
    </row>
    <row r="60" spans="1:6" x14ac:dyDescent="0.25">
      <c r="A60" s="3">
        <v>11</v>
      </c>
      <c r="B60" s="3">
        <v>4.5</v>
      </c>
      <c r="C60" s="3">
        <v>3.7</v>
      </c>
    </row>
    <row r="61" spans="1:6" x14ac:dyDescent="0.25">
      <c r="A61" s="3">
        <v>12</v>
      </c>
      <c r="B61" s="3">
        <v>4.0999999999999996</v>
      </c>
      <c r="C61" s="3">
        <v>4.3</v>
      </c>
    </row>
    <row r="62" spans="1:6" x14ac:dyDescent="0.25">
      <c r="A62" s="3">
        <v>13</v>
      </c>
      <c r="B62" s="3">
        <v>4</v>
      </c>
      <c r="C62" s="3">
        <v>4</v>
      </c>
    </row>
    <row r="63" spans="1:6" x14ac:dyDescent="0.25">
      <c r="A63" s="3">
        <v>14</v>
      </c>
      <c r="B63" s="3">
        <v>4.5999999999999996</v>
      </c>
      <c r="C63" s="3">
        <v>4.2</v>
      </c>
    </row>
    <row r="64" spans="1:6" x14ac:dyDescent="0.25">
      <c r="A64" s="3">
        <v>15</v>
      </c>
      <c r="B64" s="3">
        <v>4.3</v>
      </c>
      <c r="C64" s="3">
        <v>3.9</v>
      </c>
    </row>
    <row r="68" spans="1:5" ht="93.75" x14ac:dyDescent="0.25">
      <c r="A68" s="1" t="s">
        <v>38</v>
      </c>
    </row>
    <row r="70" spans="1:5" x14ac:dyDescent="0.25">
      <c r="A70" s="8" t="s">
        <v>14</v>
      </c>
      <c r="B70" s="8" t="s">
        <v>39</v>
      </c>
      <c r="D70" s="8" t="s">
        <v>3</v>
      </c>
      <c r="E70" s="8" t="s">
        <v>4</v>
      </c>
    </row>
    <row r="71" spans="1:5" x14ac:dyDescent="0.25">
      <c r="A71" s="3">
        <v>1</v>
      </c>
      <c r="B71" s="3">
        <v>18</v>
      </c>
      <c r="D71" s="3" t="s">
        <v>5</v>
      </c>
      <c r="E71" s="3">
        <f>AVERAGE(B71:B80)</f>
        <v>21.5</v>
      </c>
    </row>
    <row r="72" spans="1:5" x14ac:dyDescent="0.25">
      <c r="A72" s="3">
        <v>2</v>
      </c>
      <c r="B72" s="3">
        <v>22</v>
      </c>
      <c r="D72" s="3" t="s">
        <v>6</v>
      </c>
      <c r="E72" s="3">
        <f>_xlfn.STDEV.S(B71:B80)</f>
        <v>3.0276503540974917</v>
      </c>
    </row>
    <row r="73" spans="1:5" x14ac:dyDescent="0.25">
      <c r="A73" s="3">
        <v>3</v>
      </c>
      <c r="B73" s="3">
        <v>20</v>
      </c>
      <c r="D73" s="3" t="s">
        <v>7</v>
      </c>
      <c r="E73" s="3">
        <v>20</v>
      </c>
    </row>
    <row r="74" spans="1:5" x14ac:dyDescent="0.25">
      <c r="A74" s="3">
        <v>4</v>
      </c>
      <c r="B74" s="3">
        <v>25</v>
      </c>
      <c r="D74" s="3" t="s">
        <v>8</v>
      </c>
      <c r="E74" s="3">
        <f>(E71-E73)/(E72/SQRT(COUNT(B71:B80)))</f>
        <v>1.5666989036012806</v>
      </c>
    </row>
    <row r="75" spans="1:5" x14ac:dyDescent="0.25">
      <c r="A75" s="3">
        <v>5</v>
      </c>
      <c r="B75" s="3">
        <v>19</v>
      </c>
      <c r="D75" s="3" t="s">
        <v>40</v>
      </c>
      <c r="E75" s="3">
        <f>COUNT(B71:B80)-1</f>
        <v>9</v>
      </c>
    </row>
    <row r="76" spans="1:5" x14ac:dyDescent="0.25">
      <c r="A76" s="3">
        <v>6</v>
      </c>
      <c r="B76" s="3">
        <v>23</v>
      </c>
      <c r="D76" s="3" t="s">
        <v>41</v>
      </c>
      <c r="E76" s="3">
        <f>_xlfn.T.DIST.2T(ABS(E74),E75)</f>
        <v>0.15162747448768268</v>
      </c>
    </row>
    <row r="77" spans="1:5" x14ac:dyDescent="0.25">
      <c r="A77" s="3">
        <v>7</v>
      </c>
      <c r="B77" s="3">
        <v>21</v>
      </c>
      <c r="D77" s="3" t="s">
        <v>42</v>
      </c>
      <c r="E77" s="3" t="str">
        <f>IF(E76&lt;0.05,"Significantly different from 20 transactions/day","Not significantly different from 20 transactions/day")</f>
        <v>Not significantly different from 20 transactions/day</v>
      </c>
    </row>
    <row r="78" spans="1:5" x14ac:dyDescent="0.25">
      <c r="A78" s="3">
        <v>8</v>
      </c>
      <c r="B78" s="3">
        <v>24</v>
      </c>
    </row>
    <row r="79" spans="1:5" x14ac:dyDescent="0.25">
      <c r="A79" s="3">
        <v>9</v>
      </c>
      <c r="B79" s="3">
        <v>17</v>
      </c>
    </row>
    <row r="80" spans="1:5" x14ac:dyDescent="0.25">
      <c r="A80" s="3">
        <v>10</v>
      </c>
      <c r="B80" s="3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3" sqref="A3:B3"/>
    </sheetView>
  </sheetViews>
  <sheetFormatPr defaultRowHeight="15" x14ac:dyDescent="0.25"/>
  <cols>
    <col min="1" max="1" width="10" customWidth="1"/>
    <col min="2" max="2" width="115" customWidth="1"/>
  </cols>
  <sheetData>
    <row r="1" spans="1:2" ht="147" x14ac:dyDescent="0.25">
      <c r="A1" s="4" t="s">
        <v>43</v>
      </c>
      <c r="B1" s="5"/>
    </row>
    <row r="2" spans="1:2" x14ac:dyDescent="0.25">
      <c r="A2" s="5"/>
      <c r="B2" s="5"/>
    </row>
    <row r="3" spans="1:2" x14ac:dyDescent="0.25">
      <c r="A3" s="10" t="s">
        <v>44</v>
      </c>
      <c r="B3" s="10" t="s">
        <v>45</v>
      </c>
    </row>
    <row r="4" spans="1:2" x14ac:dyDescent="0.25">
      <c r="A4" s="5" t="s">
        <v>46</v>
      </c>
      <c r="B4" s="5" t="s">
        <v>47</v>
      </c>
    </row>
    <row r="5" spans="1:2" x14ac:dyDescent="0.25">
      <c r="A5" s="5" t="s">
        <v>48</v>
      </c>
      <c r="B5" s="5" t="s">
        <v>49</v>
      </c>
    </row>
    <row r="6" spans="1:2" x14ac:dyDescent="0.25">
      <c r="A6" s="5" t="s">
        <v>50</v>
      </c>
      <c r="B6" s="5" t="s">
        <v>51</v>
      </c>
    </row>
    <row r="7" spans="1:2" x14ac:dyDescent="0.25">
      <c r="A7" s="5" t="s">
        <v>52</v>
      </c>
      <c r="B7" s="5" t="s">
        <v>53</v>
      </c>
    </row>
    <row r="8" spans="1:2" x14ac:dyDescent="0.25">
      <c r="A8" s="5" t="s">
        <v>54</v>
      </c>
      <c r="B8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2026-08-17T07:23:54Z</dcterms:created>
  <dcterms:modified xsi:type="dcterms:W3CDTF">2026-08-18T06:25:22Z</dcterms:modified>
</cp:coreProperties>
</file>