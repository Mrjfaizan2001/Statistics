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A301312D-AB91-4CC8-9760-CD754C5374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sks &amp; Answers" sheetId="1" r:id="rId1"/>
    <sheet name="Answer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6" i="1" l="1"/>
  <c r="B67" i="1" s="1"/>
  <c r="B65" i="1"/>
  <c r="C62" i="1"/>
  <c r="B62" i="1"/>
  <c r="D61" i="1" s="1"/>
  <c r="E61" i="1" s="1"/>
  <c r="C52" i="1"/>
  <c r="C53" i="1" s="1"/>
  <c r="C51" i="1"/>
  <c r="C48" i="1"/>
  <c r="C47" i="1"/>
  <c r="C36" i="1"/>
  <c r="B36" i="1"/>
  <c r="D35" i="1"/>
  <c r="D34" i="1"/>
  <c r="D33" i="1"/>
  <c r="H6" i="1"/>
  <c r="G6" i="1"/>
  <c r="F6" i="1"/>
  <c r="H5" i="1"/>
  <c r="G5" i="1"/>
  <c r="F5" i="1"/>
  <c r="H4" i="1"/>
  <c r="G4" i="1"/>
  <c r="F4" i="1"/>
  <c r="F7" i="1" l="1"/>
  <c r="I5" i="1"/>
  <c r="D60" i="1"/>
  <c r="E60" i="1" s="1"/>
  <c r="B64" i="1" s="1"/>
  <c r="F33" i="1"/>
  <c r="G7" i="1"/>
  <c r="H7" i="1"/>
  <c r="I4" i="1"/>
  <c r="I6" i="1"/>
  <c r="D36" i="1"/>
  <c r="E34" i="1" s="1"/>
  <c r="F35" i="1" l="1"/>
  <c r="H48" i="1"/>
  <c r="H54" i="1" s="1"/>
  <c r="I7" i="1"/>
  <c r="G48" i="1" s="1"/>
  <c r="G54" i="1" s="1"/>
  <c r="H46" i="1"/>
  <c r="H52" i="1" s="1"/>
  <c r="F34" i="1"/>
  <c r="F36" i="1" s="1"/>
  <c r="E33" i="1"/>
  <c r="E35" i="1"/>
  <c r="E36" i="1" l="1"/>
  <c r="F48" i="1"/>
  <c r="F54" i="1" s="1"/>
  <c r="F47" i="1"/>
  <c r="F53" i="1" s="1"/>
  <c r="H47" i="1"/>
  <c r="H53" i="1" s="1"/>
  <c r="F46" i="1"/>
  <c r="F52" i="1" s="1"/>
  <c r="G46" i="1"/>
  <c r="G52" i="1" s="1"/>
  <c r="G47" i="1"/>
  <c r="G53" i="1" s="1"/>
  <c r="C50" i="1" l="1"/>
  <c r="C46" i="1"/>
</calcChain>
</file>

<file path=xl/sharedStrings.xml><?xml version="1.0" encoding="utf-8"?>
<sst xmlns="http://schemas.openxmlformats.org/spreadsheetml/2006/main" count="162" uniqueCount="94">
  <si>
    <t>Task 1: Sample Survey Responses</t>
  </si>
  <si>
    <t>Contingency Table</t>
  </si>
  <si>
    <t>User</t>
  </si>
  <si>
    <t>Favorite App</t>
  </si>
  <si>
    <t>Payment Method</t>
  </si>
  <si>
    <t>App</t>
  </si>
  <si>
    <t>Paytm</t>
  </si>
  <si>
    <t>PhonePe</t>
  </si>
  <si>
    <t>Credit Card</t>
  </si>
  <si>
    <t>Row Total</t>
  </si>
  <si>
    <t>U01</t>
  </si>
  <si>
    <t>Zomato</t>
  </si>
  <si>
    <t>U02</t>
  </si>
  <si>
    <t>Swiggy</t>
  </si>
  <si>
    <t>U03</t>
  </si>
  <si>
    <t>Uber Eats</t>
  </si>
  <si>
    <t>U04</t>
  </si>
  <si>
    <t>Column Total</t>
  </si>
  <si>
    <t>U05</t>
  </si>
  <si>
    <t>U06</t>
  </si>
  <si>
    <t>U07</t>
  </si>
  <si>
    <t>U08</t>
  </si>
  <si>
    <t>U09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</si>
  <si>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</si>
  <si>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</si>
  <si>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</si>
  <si>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</si>
  <si>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</si>
  <si>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</si>
  <si>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</si>
  <si>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</si>
  <si>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</si>
  <si>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</si>
  <si>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</si>
  <si>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</si>
  <si>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</si>
  <si>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</si>
  <si>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</si>
  <si>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Task 2: Expected Counts — Music Streaming Preference</t>
  </si>
  <si>
    <t>Music</t>
  </si>
  <si>
    <t>Males Observed</t>
  </si>
  <si>
    <t>Females Observed</t>
  </si>
  <si>
    <t>Males Expected</t>
  </si>
  <si>
    <t>Females Expected</t>
  </si>
  <si>
    <t>Spotify</t>
  </si>
  <si>
    <t>Gaana</t>
  </si>
  <si>
    <t>YouTube Music</t>
  </si>
  <si>
    <t>Task 3: Chi-Square Test of Independence</t>
  </si>
  <si>
    <t>Step</t>
  </si>
  <si>
    <t>Calculation</t>
  </si>
  <si>
    <t>Excel Formula / Result</t>
  </si>
  <si>
    <t>1. Observed counts</t>
  </si>
  <si>
    <t>Use contingency table from Task 1</t>
  </si>
  <si>
    <t>F4:H6</t>
  </si>
  <si>
    <t>2. Expected count</t>
  </si>
  <si>
    <t>(Row Total × Column Total) / Grand Total</t>
  </si>
  <si>
    <t>Shown in E46:G48</t>
  </si>
  <si>
    <t>Expected Counts</t>
  </si>
  <si>
    <t>3. Chi-square component</t>
  </si>
  <si>
    <t>(Observed − Expected)^2 / Expected</t>
  </si>
  <si>
    <t>Shown in E51:G53</t>
  </si>
  <si>
    <t>4. Chi-square statistic</t>
  </si>
  <si>
    <t>Sum of all components</t>
  </si>
  <si>
    <t>5. Degrees of freedom</t>
  </si>
  <si>
    <t>(3−1)×(3−1)</t>
  </si>
  <si>
    <t>6. p-value</t>
  </si>
  <si>
    <t>Right-tail chi-square probability</t>
  </si>
  <si>
    <t>Chi-square statistic</t>
  </si>
  <si>
    <t>Chi-square Components</t>
  </si>
  <si>
    <t>Degrees of freedom</t>
  </si>
  <si>
    <t>p-value</t>
  </si>
  <si>
    <t>Conclusion (α=0.05)</t>
  </si>
  <si>
    <t>Task 4: Chi-Square Goodness of Fit — Flipkart</t>
  </si>
  <si>
    <t>Preference</t>
  </si>
  <si>
    <t>Observed</t>
  </si>
  <si>
    <t>Claimed Proportion</t>
  </si>
  <si>
    <t>Expected</t>
  </si>
  <si>
    <t>Chi-square Component</t>
  </si>
  <si>
    <t>Prefer New Product</t>
  </si>
  <si>
    <t>Do Not Prefer</t>
  </si>
  <si>
    <t>Total</t>
  </si>
  <si>
    <t>Calculation note</t>
  </si>
  <si>
    <t>Expected counts = Grand Total × Claimed Proportion. Here: 30×70%=21 and 30×30%=9.</t>
  </si>
  <si>
    <t>Chi-Square Assignment — Excel Summary</t>
  </si>
  <si>
    <t>Task</t>
  </si>
  <si>
    <t>Answer</t>
  </si>
  <si>
    <t>1</t>
  </si>
  <si>
    <t>24 sample responses and a 3×3 contingency table are included.</t>
  </si>
  <si>
    <t>2</t>
  </si>
  <si>
    <t>Expected music counts: Spotify = 12.86 males, 17.14 females; Gaana = 6.43 males, 8.57 females; YouTube Music = 10.71 males, 14.29 females.</t>
  </si>
  <si>
    <t>3</t>
  </si>
  <si>
    <t>Task 1 chi-square ≈ 0.5357, df=2, p≈0.9699. With this sample, the association is interpreted using α=0.05.</t>
  </si>
  <si>
    <t>4</t>
  </si>
  <si>
    <t>Flipkart goodness-of-fit: expected = 21 prefer and 9 do not; chi-square ≈ 1.4286, df=1, p≈0.2320.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</si>
</sst>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sz val="16"/>
      <name val="Calibri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workbookViewId="0">
      <selection activeCell="E45" sqref="E45:H45"/>
    </sheetView>
  </sheetViews>
  <sheetFormatPr defaultRowHeight="15" x14ac:dyDescent="0.25"/>
  <cols>
    <col min="1" max="1" width="34" customWidth="1"/>
    <col min="2" max="2" width="62" customWidth="1"/>
    <col min="3" max="3" width="28" customWidth="1"/>
    <col min="4" max="4" width="18" customWidth="1"/>
    <col min="5" max="5" width="24" customWidth="1"/>
    <col min="6" max="8" width="18" customWidth="1"/>
    <col min="9" max="9" width="14" customWidth="1"/>
  </cols>
  <sheetData>
    <row r="1" spans="1:9" ht="37.5" x14ac:dyDescent="0.25">
      <c r="A1" s="1" t="s">
        <v>0</v>
      </c>
      <c r="E1" s="1" t="s">
        <v>1</v>
      </c>
    </row>
    <row r="3" spans="1:9" x14ac:dyDescent="0.25">
      <c r="A3" s="6" t="s">
        <v>2</v>
      </c>
      <c r="B3" s="6" t="s">
        <v>3</v>
      </c>
      <c r="C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9" x14ac:dyDescent="0.25">
      <c r="A4" s="2" t="s">
        <v>10</v>
      </c>
      <c r="B4" s="2" t="s">
        <v>11</v>
      </c>
      <c r="C4" s="2" t="s">
        <v>6</v>
      </c>
      <c r="E4" s="2" t="s">
        <v>11</v>
      </c>
      <c r="F4" s="2">
        <f>COUNTIFS($B$4:$B$27,$E4,$C$4:$C$27,F3)</f>
        <v>3</v>
      </c>
      <c r="G4" s="2">
        <f>COUNTIFS($B$4:$B$27,$E4,$C$4:$C$27,G3)</f>
        <v>3</v>
      </c>
      <c r="H4" s="2">
        <f>COUNTIFS($B$4:$B$27,$E4,$C$4:$C$27,H3)</f>
        <v>2</v>
      </c>
      <c r="I4" s="2">
        <f>SUM(F4:H4)</f>
        <v>8</v>
      </c>
    </row>
    <row r="5" spans="1:9" x14ac:dyDescent="0.25">
      <c r="A5" s="2" t="s">
        <v>12</v>
      </c>
      <c r="B5" s="2" t="s">
        <v>11</v>
      </c>
      <c r="C5" s="2" t="s">
        <v>6</v>
      </c>
      <c r="E5" s="2" t="s">
        <v>13</v>
      </c>
      <c r="F5" s="2">
        <f>COUNTIFS($B$4:$B$27,$E5,$C$4:$C$27,F3)</f>
        <v>2</v>
      </c>
      <c r="G5" s="2">
        <f>COUNTIFS($B$4:$B$27,$E5,$C$4:$C$27,G3)</f>
        <v>3</v>
      </c>
      <c r="H5" s="2">
        <f>COUNTIFS($B$4:$B$27,$E5,$C$4:$C$27,H3)</f>
        <v>3</v>
      </c>
      <c r="I5" s="2">
        <f>SUM(F5:H5)</f>
        <v>8</v>
      </c>
    </row>
    <row r="6" spans="1:9" x14ac:dyDescent="0.25">
      <c r="A6" s="2" t="s">
        <v>14</v>
      </c>
      <c r="B6" s="2" t="s">
        <v>11</v>
      </c>
      <c r="C6" s="2" t="s">
        <v>7</v>
      </c>
      <c r="E6" s="2" t="s">
        <v>15</v>
      </c>
      <c r="F6" s="2">
        <f>COUNTIFS($B$4:$B$27,$E6,$C$4:$C$27,F3)</f>
        <v>2</v>
      </c>
      <c r="G6" s="2">
        <f>COUNTIFS($B$4:$B$27,$E6,$C$4:$C$27,G3)</f>
        <v>3</v>
      </c>
      <c r="H6" s="2">
        <f>COUNTIFS($B$4:$B$27,$E6,$C$4:$C$27,H3)</f>
        <v>3</v>
      </c>
      <c r="I6" s="2">
        <f>SUM(F6:H6)</f>
        <v>8</v>
      </c>
    </row>
    <row r="7" spans="1:9" x14ac:dyDescent="0.25">
      <c r="A7" s="2" t="s">
        <v>16</v>
      </c>
      <c r="B7" s="2" t="s">
        <v>11</v>
      </c>
      <c r="C7" s="2" t="s">
        <v>7</v>
      </c>
      <c r="E7" s="2" t="s">
        <v>17</v>
      </c>
      <c r="F7" s="2">
        <f>SUM(F4:F6)</f>
        <v>7</v>
      </c>
      <c r="G7" s="2">
        <f>SUM(G4:G6)</f>
        <v>9</v>
      </c>
      <c r="H7" s="2">
        <f>SUM(H4:H6)</f>
        <v>8</v>
      </c>
      <c r="I7" s="2">
        <f>SUM(I4:I6)</f>
        <v>24</v>
      </c>
    </row>
    <row r="8" spans="1:9" x14ac:dyDescent="0.25">
      <c r="A8" s="2" t="s">
        <v>18</v>
      </c>
      <c r="B8" s="2" t="s">
        <v>11</v>
      </c>
      <c r="C8" s="2" t="s">
        <v>8</v>
      </c>
    </row>
    <row r="9" spans="1:9" x14ac:dyDescent="0.25">
      <c r="A9" s="2" t="s">
        <v>19</v>
      </c>
      <c r="B9" s="2" t="s">
        <v>11</v>
      </c>
      <c r="C9" s="2" t="s">
        <v>8</v>
      </c>
    </row>
    <row r="10" spans="1:9" x14ac:dyDescent="0.25">
      <c r="A10" s="2" t="s">
        <v>20</v>
      </c>
      <c r="B10" s="2" t="s">
        <v>11</v>
      </c>
      <c r="C10" s="2" t="s">
        <v>7</v>
      </c>
    </row>
    <row r="11" spans="1:9" x14ac:dyDescent="0.25">
      <c r="A11" s="2" t="s">
        <v>21</v>
      </c>
      <c r="B11" s="2" t="s">
        <v>11</v>
      </c>
      <c r="C11" s="2" t="s">
        <v>6</v>
      </c>
    </row>
    <row r="12" spans="1:9" x14ac:dyDescent="0.25">
      <c r="A12" s="2" t="s">
        <v>22</v>
      </c>
      <c r="B12" s="2" t="s">
        <v>13</v>
      </c>
      <c r="C12" s="2" t="s">
        <v>6</v>
      </c>
    </row>
    <row r="13" spans="1:9" x14ac:dyDescent="0.25">
      <c r="A13" s="2" t="s">
        <v>23</v>
      </c>
      <c r="B13" s="2" t="s">
        <v>13</v>
      </c>
      <c r="C13" s="2" t="s">
        <v>7</v>
      </c>
    </row>
    <row r="14" spans="1:9" x14ac:dyDescent="0.25">
      <c r="A14" s="2" t="s">
        <v>24</v>
      </c>
      <c r="B14" s="2" t="s">
        <v>13</v>
      </c>
      <c r="C14" s="2" t="s">
        <v>7</v>
      </c>
    </row>
    <row r="15" spans="1:9" x14ac:dyDescent="0.25">
      <c r="A15" s="2" t="s">
        <v>25</v>
      </c>
      <c r="B15" s="2" t="s">
        <v>13</v>
      </c>
      <c r="C15" s="2" t="s">
        <v>8</v>
      </c>
    </row>
    <row r="16" spans="1:9" x14ac:dyDescent="0.25">
      <c r="A16" s="2" t="s">
        <v>26</v>
      </c>
      <c r="B16" s="2" t="s">
        <v>13</v>
      </c>
      <c r="C16" s="2" t="s">
        <v>8</v>
      </c>
    </row>
    <row r="17" spans="1:6" x14ac:dyDescent="0.25">
      <c r="A17" s="2" t="s">
        <v>27</v>
      </c>
      <c r="B17" s="2" t="s">
        <v>13</v>
      </c>
      <c r="C17" s="2" t="s">
        <v>7</v>
      </c>
    </row>
    <row r="18" spans="1:6" x14ac:dyDescent="0.25">
      <c r="A18" s="2" t="s">
        <v>28</v>
      </c>
      <c r="B18" s="2" t="s">
        <v>13</v>
      </c>
      <c r="C18" s="2" t="s">
        <v>6</v>
      </c>
    </row>
    <row r="19" spans="1:6" x14ac:dyDescent="0.25">
      <c r="A19" s="2" t="s">
        <v>29</v>
      </c>
      <c r="B19" s="2" t="s">
        <v>13</v>
      </c>
      <c r="C19" s="2" t="s">
        <v>8</v>
      </c>
    </row>
    <row r="20" spans="1:6" x14ac:dyDescent="0.25">
      <c r="A20" s="2" t="s">
        <v>30</v>
      </c>
      <c r="B20" s="2" t="s">
        <v>15</v>
      </c>
      <c r="C20" s="2" t="s">
        <v>6</v>
      </c>
    </row>
    <row r="21" spans="1:6" x14ac:dyDescent="0.25">
      <c r="A21" s="2" t="s">
        <v>31</v>
      </c>
      <c r="B21" s="2" t="s">
        <v>15</v>
      </c>
      <c r="C21" s="2" t="s">
        <v>7</v>
      </c>
    </row>
    <row r="22" spans="1:6" x14ac:dyDescent="0.25">
      <c r="A22" s="2" t="s">
        <v>32</v>
      </c>
      <c r="B22" s="2" t="s">
        <v>15</v>
      </c>
      <c r="C22" s="2" t="s">
        <v>8</v>
      </c>
    </row>
    <row r="23" spans="1:6" x14ac:dyDescent="0.25">
      <c r="A23" s="2" t="s">
        <v>33</v>
      </c>
      <c r="B23" s="2" t="s">
        <v>15</v>
      </c>
      <c r="C23" s="2" t="s">
        <v>7</v>
      </c>
    </row>
    <row r="24" spans="1:6" x14ac:dyDescent="0.25">
      <c r="A24" s="2" t="s">
        <v>34</v>
      </c>
      <c r="B24" s="2" t="s">
        <v>15</v>
      </c>
      <c r="C24" s="2" t="s">
        <v>8</v>
      </c>
    </row>
    <row r="25" spans="1:6" x14ac:dyDescent="0.25">
      <c r="A25" s="2" t="s">
        <v>35</v>
      </c>
      <c r="B25" s="2" t="s">
        <v>15</v>
      </c>
      <c r="C25" s="2" t="s">
        <v>6</v>
      </c>
    </row>
    <row r="26" spans="1:6" x14ac:dyDescent="0.25">
      <c r="A26" s="2" t="s">
        <v>36</v>
      </c>
      <c r="B26" s="2" t="s">
        <v>15</v>
      </c>
      <c r="C26" s="2" t="s">
        <v>7</v>
      </c>
    </row>
    <row r="27" spans="1:6" x14ac:dyDescent="0.25">
      <c r="A27" s="2" t="s">
        <v>37</v>
      </c>
      <c r="B27" s="2" t="s">
        <v>15</v>
      </c>
      <c r="C27" s="2" t="s">
        <v>8</v>
      </c>
    </row>
    <row r="30" spans="1:6" ht="56.25" x14ac:dyDescent="0.25">
      <c r="A30" s="1" t="s">
        <v>38</v>
      </c>
    </row>
    <row r="32" spans="1:6" x14ac:dyDescent="0.25">
      <c r="A32" s="6" t="s">
        <v>39</v>
      </c>
      <c r="B32" s="6" t="s">
        <v>40</v>
      </c>
      <c r="C32" s="6" t="s">
        <v>41</v>
      </c>
      <c r="D32" s="6" t="s">
        <v>9</v>
      </c>
      <c r="E32" s="6" t="s">
        <v>42</v>
      </c>
      <c r="F32" s="6" t="s">
        <v>43</v>
      </c>
    </row>
    <row r="33" spans="1:8" x14ac:dyDescent="0.25">
      <c r="A33" s="2" t="s">
        <v>44</v>
      </c>
      <c r="B33" s="2">
        <v>12</v>
      </c>
      <c r="C33" s="2">
        <v>18</v>
      </c>
      <c r="D33" s="2">
        <f>SUM(B33:C33)</f>
        <v>30</v>
      </c>
      <c r="E33" s="2">
        <f>D33*$B$36/$D$36</f>
        <v>12.857142857142858</v>
      </c>
      <c r="F33" s="2">
        <f>D33*$C$36/$D$36</f>
        <v>17.142857142857142</v>
      </c>
    </row>
    <row r="34" spans="1:8" x14ac:dyDescent="0.25">
      <c r="A34" s="2" t="s">
        <v>45</v>
      </c>
      <c r="B34" s="2">
        <v>8</v>
      </c>
      <c r="C34" s="2">
        <v>7</v>
      </c>
      <c r="D34" s="2">
        <f>SUM(B34:C34)</f>
        <v>15</v>
      </c>
      <c r="E34" s="2">
        <f>D34*$B$36/$D$36</f>
        <v>6.4285714285714288</v>
      </c>
      <c r="F34" s="2">
        <f>D34*$C$36/$D$36</f>
        <v>8.5714285714285712</v>
      </c>
    </row>
    <row r="35" spans="1:8" x14ac:dyDescent="0.25">
      <c r="A35" s="2" t="s">
        <v>46</v>
      </c>
      <c r="B35" s="2">
        <v>10</v>
      </c>
      <c r="C35" s="2">
        <v>15</v>
      </c>
      <c r="D35" s="2">
        <f>SUM(B35:C35)</f>
        <v>25</v>
      </c>
      <c r="E35" s="2">
        <f>D35*$B$36/$D$36</f>
        <v>10.714285714285714</v>
      </c>
      <c r="F35" s="2">
        <f>D35*$C$36/$D$36</f>
        <v>14.285714285714286</v>
      </c>
    </row>
    <row r="36" spans="1:8" x14ac:dyDescent="0.25">
      <c r="A36" s="2" t="s">
        <v>17</v>
      </c>
      <c r="B36" s="2">
        <f>SUM(B33:B35)</f>
        <v>30</v>
      </c>
      <c r="C36" s="2">
        <f>SUM(C33:C35)</f>
        <v>40</v>
      </c>
      <c r="D36" s="2">
        <f>SUM(D33:D35)</f>
        <v>70</v>
      </c>
      <c r="E36" s="2">
        <f>SUM(E33:E35)</f>
        <v>30</v>
      </c>
      <c r="F36" s="2">
        <f>SUM(F33:F35)</f>
        <v>40</v>
      </c>
    </row>
    <row r="40" spans="1:8" ht="37.5" x14ac:dyDescent="0.25">
      <c r="A40" s="1" t="s">
        <v>47</v>
      </c>
    </row>
    <row r="42" spans="1:8" x14ac:dyDescent="0.25">
      <c r="A42" s="6" t="s">
        <v>48</v>
      </c>
      <c r="B42" s="6" t="s">
        <v>49</v>
      </c>
      <c r="C42" s="6" t="s">
        <v>50</v>
      </c>
    </row>
    <row r="43" spans="1:8" x14ac:dyDescent="0.25">
      <c r="A43" s="2" t="s">
        <v>51</v>
      </c>
      <c r="B43" s="2" t="s">
        <v>52</v>
      </c>
      <c r="C43" s="2" t="s">
        <v>53</v>
      </c>
    </row>
    <row r="44" spans="1:8" x14ac:dyDescent="0.25">
      <c r="A44" s="2" t="s">
        <v>54</v>
      </c>
      <c r="B44" s="2" t="s">
        <v>55</v>
      </c>
      <c r="C44" s="2" t="s">
        <v>56</v>
      </c>
      <c r="E44" s="3" t="s">
        <v>57</v>
      </c>
    </row>
    <row r="45" spans="1:8" x14ac:dyDescent="0.25">
      <c r="A45" s="2" t="s">
        <v>58</v>
      </c>
      <c r="B45" s="2" t="s">
        <v>59</v>
      </c>
      <c r="C45" s="2" t="s">
        <v>60</v>
      </c>
      <c r="E45" s="7" t="s">
        <v>5</v>
      </c>
      <c r="F45" s="7" t="s">
        <v>6</v>
      </c>
      <c r="G45" s="7" t="s">
        <v>7</v>
      </c>
      <c r="H45" s="7" t="s">
        <v>8</v>
      </c>
    </row>
    <row r="46" spans="1:8" x14ac:dyDescent="0.25">
      <c r="A46" s="2" t="s">
        <v>61</v>
      </c>
      <c r="B46" s="2" t="s">
        <v>62</v>
      </c>
      <c r="C46" s="2">
        <f>SUM(E51:G53)</f>
        <v>0.23809523809523803</v>
      </c>
      <c r="E46" s="2" t="s">
        <v>11</v>
      </c>
      <c r="F46" s="2">
        <f>$I4*F7/$I$7</f>
        <v>2.3333333333333335</v>
      </c>
      <c r="G46" s="2">
        <f>$I4*G7/$I$7</f>
        <v>3</v>
      </c>
      <c r="H46" s="2">
        <f>$I4*H7/$I$7</f>
        <v>2.6666666666666665</v>
      </c>
    </row>
    <row r="47" spans="1:8" x14ac:dyDescent="0.25">
      <c r="A47" s="2" t="s">
        <v>63</v>
      </c>
      <c r="B47" s="2" t="s">
        <v>64</v>
      </c>
      <c r="C47" s="2">
        <f>(3-1)*(3-1)</f>
        <v>4</v>
      </c>
      <c r="E47" s="2" t="s">
        <v>13</v>
      </c>
      <c r="F47" s="2">
        <f>$I5*F7/$I$7</f>
        <v>2.3333333333333335</v>
      </c>
      <c r="G47" s="2">
        <f>$I5*G7/$I$7</f>
        <v>3</v>
      </c>
      <c r="H47" s="2">
        <f>$I5*H7/$I$7</f>
        <v>2.6666666666666665</v>
      </c>
    </row>
    <row r="48" spans="1:8" x14ac:dyDescent="0.25">
      <c r="A48" s="2" t="s">
        <v>65</v>
      </c>
      <c r="B48" s="2" t="s">
        <v>66</v>
      </c>
      <c r="C48" s="2" t="e">
        <f ca="1">_xludf.CHISQ.DIST.RT(C46,C47)</f>
        <v>#NAME?</v>
      </c>
      <c r="E48" s="2" t="s">
        <v>15</v>
      </c>
      <c r="F48" s="2">
        <f>$I6*F7/$I$7</f>
        <v>2.3333333333333335</v>
      </c>
      <c r="G48" s="2">
        <f>$I6*G7/$I$7</f>
        <v>3</v>
      </c>
      <c r="H48" s="2">
        <f>$I6*H7/$I$7</f>
        <v>2.6666666666666665</v>
      </c>
    </row>
    <row r="50" spans="1:8" x14ac:dyDescent="0.25">
      <c r="A50" s="2" t="s">
        <v>67</v>
      </c>
      <c r="C50" s="2">
        <f>SUM(F52:H54)</f>
        <v>0.5357142857142857</v>
      </c>
      <c r="E50" s="3" t="s">
        <v>68</v>
      </c>
    </row>
    <row r="51" spans="1:8" x14ac:dyDescent="0.25">
      <c r="A51" s="2" t="s">
        <v>69</v>
      </c>
      <c r="C51" s="2">
        <f>(3-1)*(3-1)</f>
        <v>4</v>
      </c>
      <c r="E51" s="7" t="s">
        <v>5</v>
      </c>
      <c r="F51" s="7" t="s">
        <v>6</v>
      </c>
      <c r="G51" s="7" t="s">
        <v>7</v>
      </c>
      <c r="H51" s="7" t="s">
        <v>8</v>
      </c>
    </row>
    <row r="52" spans="1:8" x14ac:dyDescent="0.25">
      <c r="A52" s="2" t="s">
        <v>70</v>
      </c>
      <c r="C52" s="2" t="e">
        <f ca="1">_xludf.CHISQ.DIST.RT(C50,C51)</f>
        <v>#NAME?</v>
      </c>
      <c r="E52" s="2" t="s">
        <v>11</v>
      </c>
      <c r="F52" s="2">
        <f t="shared" ref="F52:H54" si="0">(F4-F46)^2/F46</f>
        <v>0.19047619047619038</v>
      </c>
      <c r="G52" s="2">
        <f t="shared" si="0"/>
        <v>0</v>
      </c>
      <c r="H52" s="2">
        <f t="shared" si="0"/>
        <v>0.1666666666666666</v>
      </c>
    </row>
    <row r="53" spans="1:8" x14ac:dyDescent="0.25">
      <c r="A53" s="2" t="s">
        <v>71</v>
      </c>
      <c r="C53" s="2" t="e">
        <f ca="1">IF(C52&lt;0.05,"Reject H0: significant association between app choice and payment method.","Fail to reject H0: no significant association detected.")</f>
        <v>#NAME?</v>
      </c>
      <c r="E53" s="2" t="s">
        <v>13</v>
      </c>
      <c r="F53" s="2">
        <f t="shared" si="0"/>
        <v>4.7619047619047658E-2</v>
      </c>
      <c r="G53" s="2">
        <f t="shared" si="0"/>
        <v>0</v>
      </c>
      <c r="H53" s="2">
        <f t="shared" si="0"/>
        <v>4.1666666666666706E-2</v>
      </c>
    </row>
    <row r="54" spans="1:8" x14ac:dyDescent="0.25">
      <c r="E54" s="2" t="s">
        <v>15</v>
      </c>
      <c r="F54" s="2">
        <f t="shared" si="0"/>
        <v>4.7619047619047658E-2</v>
      </c>
      <c r="G54" s="2">
        <f t="shared" si="0"/>
        <v>0</v>
      </c>
      <c r="H54" s="2">
        <f t="shared" si="0"/>
        <v>4.1666666666666706E-2</v>
      </c>
    </row>
    <row r="57" spans="1:8" ht="37.5" x14ac:dyDescent="0.25">
      <c r="A57" s="1" t="s">
        <v>72</v>
      </c>
    </row>
    <row r="59" spans="1:8" x14ac:dyDescent="0.25">
      <c r="A59" s="6" t="s">
        <v>73</v>
      </c>
      <c r="B59" s="6" t="s">
        <v>74</v>
      </c>
      <c r="C59" s="6" t="s">
        <v>75</v>
      </c>
      <c r="D59" s="6" t="s">
        <v>76</v>
      </c>
      <c r="E59" s="6" t="s">
        <v>77</v>
      </c>
    </row>
    <row r="60" spans="1:8" x14ac:dyDescent="0.25">
      <c r="A60" s="2" t="s">
        <v>78</v>
      </c>
      <c r="B60" s="2">
        <v>18</v>
      </c>
      <c r="C60" s="2">
        <v>0.7</v>
      </c>
      <c r="D60" s="2">
        <f>$B$62*C60</f>
        <v>21</v>
      </c>
      <c r="E60" s="2">
        <f>(B60-D60)^2/D60</f>
        <v>0.42857142857142855</v>
      </c>
    </row>
    <row r="61" spans="1:8" x14ac:dyDescent="0.25">
      <c r="A61" s="2" t="s">
        <v>79</v>
      </c>
      <c r="B61" s="2">
        <v>12</v>
      </c>
      <c r="C61" s="2">
        <v>0.3</v>
      </c>
      <c r="D61" s="2">
        <f>$B$62*C61</f>
        <v>9</v>
      </c>
      <c r="E61" s="2">
        <f>(B61-D61)^2/D61</f>
        <v>1</v>
      </c>
    </row>
    <row r="62" spans="1:8" x14ac:dyDescent="0.25">
      <c r="A62" s="2" t="s">
        <v>80</v>
      </c>
      <c r="B62" s="2">
        <f>SUM(B60:B61)</f>
        <v>30</v>
      </c>
      <c r="C62" s="2">
        <f>SUM(C60:C61)</f>
        <v>1</v>
      </c>
    </row>
    <row r="64" spans="1:8" x14ac:dyDescent="0.25">
      <c r="A64" s="2" t="s">
        <v>67</v>
      </c>
      <c r="B64" s="2">
        <f>SUM(E60:E61)</f>
        <v>1.4285714285714286</v>
      </c>
    </row>
    <row r="65" spans="1:2" x14ac:dyDescent="0.25">
      <c r="A65" s="2" t="s">
        <v>69</v>
      </c>
      <c r="B65" s="2">
        <f>1</f>
        <v>1</v>
      </c>
    </row>
    <row r="66" spans="1:2" x14ac:dyDescent="0.25">
      <c r="A66" s="2" t="s">
        <v>70</v>
      </c>
      <c r="B66" s="2" t="e">
        <f ca="1">_xludf.CHISQ.DIST.RT(B64,B65)</f>
        <v>#NAME?</v>
      </c>
    </row>
    <row r="67" spans="1:2" x14ac:dyDescent="0.25">
      <c r="A67" s="2" t="s">
        <v>71</v>
      </c>
      <c r="B67" s="2" t="e">
        <f ca="1">IF(B66&lt;0.05,"Reject the company claim that 70% prefer the product.","Fail to reject the company claim that 70% prefer the product.")</f>
        <v>#NAME?</v>
      </c>
    </row>
    <row r="68" spans="1:2" ht="30" x14ac:dyDescent="0.25">
      <c r="A68" s="2" t="s">
        <v>81</v>
      </c>
      <c r="B68" s="2" t="s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8" sqref="B8"/>
    </sheetView>
  </sheetViews>
  <sheetFormatPr defaultRowHeight="15" x14ac:dyDescent="0.25"/>
  <cols>
    <col min="1" max="1" width="10" customWidth="1"/>
    <col min="2" max="2" width="110" customWidth="1"/>
  </cols>
  <sheetData>
    <row r="1" spans="1:2" ht="21" x14ac:dyDescent="0.25">
      <c r="A1" s="4"/>
      <c r="B1" s="9" t="s">
        <v>83</v>
      </c>
    </row>
    <row r="2" spans="1:2" x14ac:dyDescent="0.25">
      <c r="A2" s="5"/>
      <c r="B2" s="5"/>
    </row>
    <row r="3" spans="1:2" x14ac:dyDescent="0.25">
      <c r="A3" s="8" t="s">
        <v>84</v>
      </c>
      <c r="B3" s="8" t="s">
        <v>85</v>
      </c>
    </row>
    <row r="4" spans="1:2" x14ac:dyDescent="0.25">
      <c r="A4" s="5" t="s">
        <v>86</v>
      </c>
      <c r="B4" s="5" t="s">
        <v>87</v>
      </c>
    </row>
    <row r="5" spans="1:2" ht="30" x14ac:dyDescent="0.25">
      <c r="A5" s="5" t="s">
        <v>88</v>
      </c>
      <c r="B5" s="5" t="s">
        <v>89</v>
      </c>
    </row>
    <row r="6" spans="1:2" x14ac:dyDescent="0.25">
      <c r="A6" s="5" t="s">
        <v>90</v>
      </c>
      <c r="B6" s="5" t="s">
        <v>91</v>
      </c>
    </row>
    <row r="7" spans="1:2" x14ac:dyDescent="0.25">
      <c r="A7" s="5" t="s">
        <v>92</v>
      </c>
      <c r="B7" s="5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 &amp; Answers</vt:lpstr>
      <vt:lpstr>Answer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Tops</cp:lastModifiedBy>
  <dcterms:created xsi:type="dcterms:W3CDTF">2026-08-17T07:21:29Z</dcterms:created>
  <dcterms:modified xsi:type="dcterms:W3CDTF">2026-08-18T06:30:21Z</dcterms:modified>
</cp:coreProperties>
</file>