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318061D2-F3DB-439A-9209-558AE10785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s &amp; Answers" sheetId="1" r:id="rId1"/>
    <sheet name="Answe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B38" i="1"/>
  <c r="B37" i="1"/>
  <c r="B29" i="1"/>
  <c r="B31" i="1" s="1"/>
  <c r="B22" i="1"/>
  <c r="B20" i="1"/>
  <c r="B23" i="1" s="1"/>
</calcChain>
</file>

<file path=xl/sharedStrings.xml><?xml version="1.0" encoding="utf-8"?>
<sst xmlns="http://schemas.openxmlformats.org/spreadsheetml/2006/main" count="45" uniqueCount="43">
  <si>
    <t>Task 1: Cashback Offer — Hypotheses</t>
  </si>
  <si>
    <t>Null Hypothesis (H₀)</t>
  </si>
  <si>
    <t>H₀: μ_after ≤ μ_before (the cashback offer has not increased the average daily orders).</t>
  </si>
  <si>
    <t>Alternative Hypothesis (H₁)</t>
  </si>
  <si>
    <t>H₁: μ_after &gt; μ_before (the cashback offer has increased the average daily orders).</t>
  </si>
  <si>
    <t>Test type</t>
  </si>
  <si>
    <t>One-tailed (right-tailed) test because we are specifically testing for an increase.</t>
  </si>
  <si>
    <t>Task 2: Type I vs Type II Error</t>
  </si>
  <si>
    <t>Given situation</t>
  </si>
  <si>
    <t>You conclude that the new playlist algorithm increases listening time, but in reality it does not.</t>
  </si>
  <si>
    <t>Correct error type</t>
  </si>
  <si>
    <t>Type I Error</t>
  </si>
  <si>
    <t>Why?</t>
  </si>
  <si>
    <t>A Type I error occurs when we reject a true null hypothesis — here, we wrongly conclude the algorithm works when it actually does not.</t>
  </si>
  <si>
    <t>Task 3: A/B Test — p-value = 0.03</t>
  </si>
  <si>
    <t>Confidence level</t>
  </si>
  <si>
    <t>Significance level (α)</t>
  </si>
  <si>
    <t>p-value</t>
  </si>
  <si>
    <t>Decision</t>
  </si>
  <si>
    <t>Meaning</t>
  </si>
  <si>
    <t>Task 4: 99% Confidence — Cricket App Push Notifications</t>
  </si>
  <si>
    <t>Interpretation</t>
  </si>
  <si>
    <t>A 99% confidence level means we use a very strict evidence standard: α = 1%. If the test provides sufficiently strong evidence (p-value &lt; 0.01) that match alerts increase engagement, we reject H₀; otherwise, we fail to reject H₀.</t>
  </si>
  <si>
    <t>Feature decision rule</t>
  </si>
  <si>
    <t>Important wording</t>
  </si>
  <si>
    <t>We normally say 'reject H₀' or 'fail to reject H₀', rather than 'accept H₀'.</t>
  </si>
  <si>
    <t>Excel Formula Reference</t>
  </si>
  <si>
    <t>95% significance level</t>
  </si>
  <si>
    <t>99% significance level</t>
  </si>
  <si>
    <t>Task 3 decision</t>
  </si>
  <si>
    <t>Example 99% decision</t>
  </si>
  <si>
    <t>Hypothesis Testing — Answer Summary</t>
  </si>
  <si>
    <t>Task</t>
  </si>
  <si>
    <t>Answer</t>
  </si>
  <si>
    <t>1</t>
  </si>
  <si>
    <t>H₀: μ_after ≤ μ_before; H₁: μ_after &gt; μ_before. This is a right-tailed test.</t>
  </si>
  <si>
    <t>2</t>
  </si>
  <si>
    <t>Type I error, because we reject a true null hypothesis and wrongly conclude the algorithm works.</t>
  </si>
  <si>
    <t>3</t>
  </si>
  <si>
    <t>p = 0.03 &lt; α = 0.05, so reject H₀. There is statistically significant evidence that the new banner increases purchases.</t>
  </si>
  <si>
    <t>4</t>
  </si>
  <si>
    <t>99% confidence corresponds to α = 0.01. The evidence must be stronger than at the 95% level; reject H₀ only if p &lt; 0.01.</t>
  </si>
  <si>
    <t>Hypothesis TestiAssignment —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</si>
</sst>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6"/>
      <color rgb="FFFF0000"/>
      <name val="Calibri"/>
      <family val="2"/>
    </font>
    <font>
      <b/>
      <sz val="14"/>
      <color theme="3"/>
      <name val="Calibri"/>
      <family val="2"/>
    </font>
    <font>
      <b/>
      <sz val="1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8" sqref="B8"/>
    </sheetView>
  </sheetViews>
  <sheetFormatPr defaultRowHeight="15" x14ac:dyDescent="0.25"/>
  <cols>
    <col min="1" max="1" width="34" customWidth="1"/>
    <col min="2" max="2" width="110" customWidth="1"/>
  </cols>
  <sheetData>
    <row r="1" spans="1:2" ht="28.5" x14ac:dyDescent="0.45">
      <c r="A1" s="6"/>
      <c r="B1" s="9" t="s">
        <v>42</v>
      </c>
    </row>
    <row r="3" spans="1:2" ht="37.5" x14ac:dyDescent="0.25">
      <c r="A3" s="5" t="s">
        <v>0</v>
      </c>
    </row>
    <row r="5" spans="1:2" x14ac:dyDescent="0.25">
      <c r="A5" s="1" t="s">
        <v>1</v>
      </c>
      <c r="B5" s="1" t="s">
        <v>2</v>
      </c>
    </row>
    <row r="6" spans="1:2" x14ac:dyDescent="0.25">
      <c r="A6" s="1" t="s">
        <v>3</v>
      </c>
      <c r="B6" s="1" t="s">
        <v>4</v>
      </c>
    </row>
    <row r="7" spans="1:2" x14ac:dyDescent="0.25">
      <c r="A7" s="1" t="s">
        <v>5</v>
      </c>
      <c r="B7" s="1" t="s">
        <v>6</v>
      </c>
    </row>
    <row r="10" spans="1:2" ht="37.5" x14ac:dyDescent="0.25">
      <c r="A10" s="5" t="s">
        <v>7</v>
      </c>
    </row>
    <row r="12" spans="1:2" x14ac:dyDescent="0.25">
      <c r="A12" s="1" t="s">
        <v>8</v>
      </c>
      <c r="B12" s="1" t="s">
        <v>9</v>
      </c>
    </row>
    <row r="13" spans="1:2" x14ac:dyDescent="0.25">
      <c r="A13" s="1" t="s">
        <v>10</v>
      </c>
      <c r="B13" s="1" t="s">
        <v>11</v>
      </c>
    </row>
    <row r="14" spans="1:2" ht="30" x14ac:dyDescent="0.25">
      <c r="A14" s="1" t="s">
        <v>12</v>
      </c>
      <c r="B14" s="1" t="s">
        <v>13</v>
      </c>
    </row>
    <row r="17" spans="1:2" ht="37.5" x14ac:dyDescent="0.25">
      <c r="A17" s="5" t="s">
        <v>14</v>
      </c>
    </row>
    <row r="19" spans="1:2" x14ac:dyDescent="0.25">
      <c r="A19" s="1" t="s">
        <v>15</v>
      </c>
      <c r="B19" s="2">
        <v>0.95</v>
      </c>
    </row>
    <row r="20" spans="1:2" x14ac:dyDescent="0.25">
      <c r="A20" s="1" t="s">
        <v>16</v>
      </c>
      <c r="B20" s="2">
        <f>1-B19</f>
        <v>5.0000000000000044E-2</v>
      </c>
    </row>
    <row r="21" spans="1:2" x14ac:dyDescent="0.25">
      <c r="A21" s="1" t="s">
        <v>17</v>
      </c>
      <c r="B21" s="1">
        <v>0.03</v>
      </c>
    </row>
    <row r="22" spans="1:2" x14ac:dyDescent="0.25">
      <c r="A22" s="1" t="s">
        <v>18</v>
      </c>
      <c r="B22" s="1" t="str">
        <f>IF(B21&lt;B20,"Reject H₀","Fail to reject H₀")</f>
        <v>Reject H₀</v>
      </c>
    </row>
    <row r="23" spans="1:2" x14ac:dyDescent="0.25">
      <c r="A23" s="1" t="s">
        <v>19</v>
      </c>
      <c r="B23" s="1" t="str">
        <f>IF(B21&lt;B20,"At the 5% significance level, there is sufficient evidence that the new discount banner increases purchases.","There is not sufficient evidence that the new discount banner increases purchases.")</f>
        <v>At the 5% significance level, there is sufficient evidence that the new discount banner increases purchases.</v>
      </c>
    </row>
    <row r="26" spans="1:2" ht="56.25" x14ac:dyDescent="0.25">
      <c r="A26" s="5" t="s">
        <v>20</v>
      </c>
    </row>
    <row r="28" spans="1:2" x14ac:dyDescent="0.25">
      <c r="A28" s="1" t="s">
        <v>15</v>
      </c>
      <c r="B28" s="2">
        <v>0.99</v>
      </c>
    </row>
    <row r="29" spans="1:2" x14ac:dyDescent="0.25">
      <c r="A29" s="1" t="s">
        <v>16</v>
      </c>
      <c r="B29" s="2">
        <f>1-B28</f>
        <v>1.0000000000000009E-2</v>
      </c>
    </row>
    <row r="30" spans="1:2" ht="30" x14ac:dyDescent="0.25">
      <c r="A30" s="1" t="s">
        <v>21</v>
      </c>
      <c r="B30" s="1" t="s">
        <v>22</v>
      </c>
    </row>
    <row r="31" spans="1:2" x14ac:dyDescent="0.25">
      <c r="A31" s="1" t="s">
        <v>23</v>
      </c>
      <c r="B31" s="1" t="str">
        <f>IF(0.005&lt;B29,"Illustrative: if p-value = 0.005, reject H₀ and support the feature.","")</f>
        <v>Illustrative: if p-value = 0.005, reject H₀ and support the feature.</v>
      </c>
    </row>
    <row r="32" spans="1:2" x14ac:dyDescent="0.25">
      <c r="A32" s="1" t="s">
        <v>24</v>
      </c>
      <c r="B32" s="1" t="s">
        <v>25</v>
      </c>
    </row>
    <row r="35" spans="1:2" ht="18.75" x14ac:dyDescent="0.25">
      <c r="A35" s="5" t="s">
        <v>26</v>
      </c>
    </row>
    <row r="37" spans="1:2" x14ac:dyDescent="0.25">
      <c r="A37" s="1" t="s">
        <v>27</v>
      </c>
      <c r="B37" s="1">
        <f>1-95%</f>
        <v>5.0000000000000044E-2</v>
      </c>
    </row>
    <row r="38" spans="1:2" x14ac:dyDescent="0.25">
      <c r="A38" s="1" t="s">
        <v>28</v>
      </c>
      <c r="B38" s="1">
        <f>1-99%</f>
        <v>1.0000000000000009E-2</v>
      </c>
    </row>
    <row r="39" spans="1:2" x14ac:dyDescent="0.25">
      <c r="A39" s="1" t="s">
        <v>29</v>
      </c>
      <c r="B39" s="1" t="str">
        <f>IF(0.03&lt;1-95%,"Reject H₀","Fail to reject H₀")</f>
        <v>Reject H₀</v>
      </c>
    </row>
    <row r="40" spans="1:2" x14ac:dyDescent="0.25">
      <c r="A40" s="1" t="s">
        <v>30</v>
      </c>
      <c r="B40" s="1" t="str">
        <f>IF(0.005&lt;1-99%,"Reject H₀","Fail to reject H₀")</f>
        <v>Reject H₀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4" sqref="B14"/>
    </sheetView>
  </sheetViews>
  <sheetFormatPr defaultRowHeight="15" x14ac:dyDescent="0.25"/>
  <cols>
    <col min="1" max="1" width="10" customWidth="1"/>
    <col min="2" max="2" width="110" customWidth="1"/>
  </cols>
  <sheetData>
    <row r="1" spans="1:2" ht="23.25" x14ac:dyDescent="0.25">
      <c r="A1" s="3"/>
      <c r="B1" s="8" t="s">
        <v>31</v>
      </c>
    </row>
    <row r="2" spans="1:2" x14ac:dyDescent="0.25">
      <c r="A2" s="4"/>
      <c r="B2" s="4"/>
    </row>
    <row r="3" spans="1:2" x14ac:dyDescent="0.25">
      <c r="A3" s="7" t="s">
        <v>32</v>
      </c>
      <c r="B3" s="7" t="s">
        <v>33</v>
      </c>
    </row>
    <row r="4" spans="1:2" x14ac:dyDescent="0.25">
      <c r="A4" s="4" t="s">
        <v>34</v>
      </c>
      <c r="B4" s="4" t="s">
        <v>35</v>
      </c>
    </row>
    <row r="5" spans="1:2" x14ac:dyDescent="0.25">
      <c r="A5" s="4" t="s">
        <v>36</v>
      </c>
      <c r="B5" s="4" t="s">
        <v>37</v>
      </c>
    </row>
    <row r="6" spans="1:2" x14ac:dyDescent="0.25">
      <c r="A6" s="4" t="s">
        <v>38</v>
      </c>
      <c r="B6" s="4" t="s">
        <v>39</v>
      </c>
    </row>
    <row r="7" spans="1:2" x14ac:dyDescent="0.25">
      <c r="A7" s="4" t="s">
        <v>40</v>
      </c>
      <c r="B7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2026-08-17T07:30:09Z</dcterms:created>
  <dcterms:modified xsi:type="dcterms:W3CDTF">2026-08-18T06:23:33Z</dcterms:modified>
</cp:coreProperties>
</file>